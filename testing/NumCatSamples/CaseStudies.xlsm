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9035" windowHeight="8445"/>
  </bookViews>
  <sheets>
    <sheet name="Callbacks" sheetId="6" r:id="rId1"/>
    <sheet name="BatchDistilFail.sym" sheetId="5" r:id="rId2"/>
    <sheet name="BatchDistil.sym" sheetId="4" r:id="rId3"/>
  </sheets>
  <externalReferences>
    <externalReference r:id="rId4"/>
  </externalReferences>
  <definedNames>
    <definedName name="BatchDistilFailsym" localSheetId="1">BatchDistilFail.sym!$A$1:$A$189</definedName>
    <definedName name="BatchDistilsym" localSheetId="2">BatchDistil.sym!$A$1:$A$188</definedName>
    <definedName name="sym_LineLength">#REF!</definedName>
    <definedName name="symTestEditMUBATCHFailed" localSheetId="1">BatchDistilFail.sym!$A$1:$A$220</definedName>
    <definedName name="TestRange">Callbacks!$E$1:$E$12,Callbacks!$G$1:$G$12</definedName>
  </definedNames>
  <calcPr calcId="125725"/>
</workbook>
</file>

<file path=xl/calcChain.xml><?xml version="1.0" encoding="utf-8"?>
<calcChain xmlns="http://schemas.openxmlformats.org/spreadsheetml/2006/main">
  <c r="D12" i="6"/>
  <c r="D11"/>
  <c r="D10"/>
  <c r="D9"/>
  <c r="D8"/>
  <c r="D7"/>
  <c r="D6"/>
  <c r="D5"/>
  <c r="D4"/>
  <c r="D3"/>
  <c r="I12"/>
  <c r="I11"/>
  <c r="I10"/>
  <c r="I9"/>
  <c r="I8"/>
  <c r="I7"/>
  <c r="I6"/>
  <c r="I5"/>
  <c r="I4"/>
  <c r="I3"/>
  <c r="K3"/>
  <c r="J3"/>
  <c r="M3"/>
  <c r="L3"/>
  <c r="O3"/>
  <c r="N3"/>
  <c r="J12"/>
  <c r="K12"/>
  <c r="L12"/>
  <c r="M12"/>
  <c r="N12"/>
  <c r="O12"/>
  <c r="Q12"/>
  <c r="J11"/>
  <c r="K11"/>
  <c r="L11"/>
  <c r="M11"/>
  <c r="N11"/>
  <c r="O11"/>
  <c r="Q11"/>
  <c r="J10"/>
  <c r="K10"/>
  <c r="L10"/>
  <c r="M10"/>
  <c r="N10"/>
  <c r="O10"/>
  <c r="Q10"/>
  <c r="J9"/>
  <c r="K9"/>
  <c r="L9"/>
  <c r="M9"/>
  <c r="N9"/>
  <c r="O9"/>
  <c r="Q9"/>
  <c r="J8"/>
  <c r="K8"/>
  <c r="L8"/>
  <c r="M8"/>
  <c r="N8"/>
  <c r="O8"/>
  <c r="Q8"/>
  <c r="J7"/>
  <c r="K7"/>
  <c r="L7"/>
  <c r="M7"/>
  <c r="N7"/>
  <c r="O7"/>
  <c r="Q7"/>
  <c r="J6"/>
  <c r="K6"/>
  <c r="L6"/>
  <c r="M6"/>
  <c r="N6"/>
  <c r="O6"/>
  <c r="Q6"/>
  <c r="J5"/>
  <c r="K5"/>
  <c r="L5"/>
  <c r="M5"/>
  <c r="N5"/>
  <c r="O5"/>
  <c r="Q5"/>
  <c r="J4"/>
  <c r="K4"/>
  <c r="L4"/>
  <c r="M4"/>
  <c r="N4"/>
  <c r="O4"/>
  <c r="Q4"/>
  <c r="Q3"/>
</calcChain>
</file>

<file path=xl/comments1.xml><?xml version="1.0" encoding="utf-8"?>
<comments xmlns="http://schemas.openxmlformats.org/spreadsheetml/2006/main">
  <authors>
    <author>Tim Read</author>
  </authors>
  <commentList>
    <comment ref="B1" authorId="0">
      <text>
        <r>
          <rPr>
            <sz val="8"/>
            <color indexed="81"/>
            <rFont val="Tahoma"/>
            <family val="2"/>
          </rPr>
          <t xml:space="preserve">Name of model sheet. Model must be in workbook.
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This helps distinguish each run with the same model.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This also allows for a calculation that sets this number to trigger a new run. In this case it’s A3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An independent variable that is set at the start of the model run, and overridden by this columns values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>This column call Numerical Catalyst for this Model-RunName-RunNumber combination and returns a ID which will allow values to be retrieved. It has multiple dependecies, including which values at the end of the simulation to store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>Variable to report end value of.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Not yet implemented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Error listed here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States that this is a start value to be overridden. Currently only type of event overridden, but mayt change in future.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Change this number to trigger calculations.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8"/>
            <color indexed="81"/>
            <rFont val="Tahoma"/>
            <family val="2"/>
          </rPr>
          <t>Call to function that can retrieve end value - once only.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<sst xmlns="http://schemas.openxmlformats.org/spreadsheetml/2006/main" count="348" uniqueCount="187">
  <si>
    <t xml:space="preserve">// Example  BATCH 5 </t>
  </si>
  <si>
    <t>//  multicompenent distillation for species A,B,C,D,&amp; E</t>
  </si>
  <si>
    <t xml:space="preserve">//  plate dynamcis excluded as are an changes in relative volatility </t>
  </si>
  <si>
    <t>#define conc {min=0,max=1}</t>
  </si>
  <si>
    <t>#define quantity {min=0}</t>
  </si>
  <si>
    <t>Dim X# as conc</t>
  </si>
  <si>
    <t>Dim Y# as conc</t>
  </si>
  <si>
    <t>Dim MolHoldUpStill as quantity</t>
  </si>
  <si>
    <t xml:space="preserve"> start MolHoldUpStill=1000</t>
  </si>
  <si>
    <t xml:space="preserve"> start MolHoldUpReflux=100 </t>
  </si>
  <si>
    <t xml:space="preserve"> start V=10       //Vapor boil up rate</t>
  </si>
  <si>
    <t xml:space="preserve"> start R=1000       //Reflux rate</t>
  </si>
  <si>
    <t xml:space="preserve"> start DIST=0</t>
  </si>
  <si>
    <t xml:space="preserve"> R=10@t=20 // so that column has realistic tray compositions before the batch distillation starts</t>
  </si>
  <si>
    <t xml:space="preserve"> start AA=2.0     //Relative volatilities</t>
  </si>
  <si>
    <t xml:space="preserve"> start AB=1.5</t>
  </si>
  <si>
    <t xml:space="preserve"> start AC=1.0</t>
  </si>
  <si>
    <t xml:space="preserve"> start AD=0.5</t>
  </si>
  <si>
    <t xml:space="preserve"> start AE=0.125</t>
  </si>
  <si>
    <t xml:space="preserve"> stop t&gt;500</t>
  </si>
  <si>
    <t>// remove comment at start of realtime line to slow simulation down</t>
  </si>
  <si>
    <t>// realtime 1</t>
  </si>
  <si>
    <t>solver RK5VS step 2.5E-3</t>
  </si>
  <si>
    <t>start XA8=0.2 // Initial Still Concentrations</t>
  </si>
  <si>
    <t>start XB8=0.2</t>
  </si>
  <si>
    <t>start XC8=0.2</t>
  </si>
  <si>
    <t>start XD8=0.2</t>
  </si>
  <si>
    <t xml:space="preserve">//  ALL OTHER CONCENTRATIONS ARE IMPLICITLY </t>
  </si>
  <si>
    <t>//  SET TO ZERO, USING THE ISIM DEFAULT VALUES</t>
  </si>
  <si>
    <t>start XA0=0.98</t>
  </si>
  <si>
    <t>start XB0=0.02</t>
  </si>
  <si>
    <t>start XC0=0</t>
  </si>
  <si>
    <t>start XD0=0</t>
  </si>
  <si>
    <t>//  LIQUID AND VAPOUR FLOWRATES</t>
  </si>
  <si>
    <t>D=V/(R+1)</t>
  </si>
  <si>
    <t>L=V-D</t>
  </si>
  <si>
    <t>R1=(R+1)</t>
  </si>
  <si>
    <t>XE8=1-XA8-XB8-XC8-XD8</t>
  </si>
  <si>
    <t>SUMA8=AA*XA8+AB*XB8+AC*XC8+AD*XD8+AE*XE8</t>
  </si>
  <si>
    <t>YA8=AA*XA8/SUMA8</t>
  </si>
  <si>
    <t>YB8=AB*XB8/SUMA8</t>
  </si>
  <si>
    <t>YC8=AC*XC8/SUMA8</t>
  </si>
  <si>
    <t>YD8=AD*XD8/SUMA8</t>
  </si>
  <si>
    <t>YE8=1-YA8-YB8-YC8-YD8</t>
  </si>
  <si>
    <t>XA7=(R1*YA8-XA0)/R</t>
  </si>
  <si>
    <t>XB7=(R1*YB8-XB0)/R</t>
  </si>
  <si>
    <t>XC7=(R1*YC8-XC0)/R</t>
  </si>
  <si>
    <t>XD7=(R1*YD8-XD0)/R</t>
  </si>
  <si>
    <t>XE7=1-XA7-XB7-XC7-XD7</t>
  </si>
  <si>
    <t>SUMA7=AA*XA7+AB*XB7+AC*XC7+AD*XD7+AE*XE7</t>
  </si>
  <si>
    <t>YA7=AA*XA7/SUMA7</t>
  </si>
  <si>
    <t>YB7=AB*XB7/SUMA7</t>
  </si>
  <si>
    <t>YC7=AC*XC7/SUMA7</t>
  </si>
  <si>
    <t>YD7=AD*XD7/SUMA7</t>
  </si>
  <si>
    <t>YE7=1-YA7-YB7-YC7-YD7</t>
  </si>
  <si>
    <t>XA6=(R1*YA7-XA0)/R</t>
  </si>
  <si>
    <t>XB6=(R1*YB7-XB0)/R</t>
  </si>
  <si>
    <t>XC6=(R1*YC7-XC0)/R</t>
  </si>
  <si>
    <t>XD6=(R1*YD7-XD0)/R</t>
  </si>
  <si>
    <t>XE6=1-XA6-XB6-XC6-XD6</t>
  </si>
  <si>
    <t>SUMA6=AA*XA6+AB*XB6+AC*XC6+AD*XD6+AE*XE6</t>
  </si>
  <si>
    <t>YA6=AA*XA6/SUMA6</t>
  </si>
  <si>
    <t>YB6=AB*XB6/SUMA6</t>
  </si>
  <si>
    <t>YC6=AC*XC6/SUMA6</t>
  </si>
  <si>
    <t>YD6=AD*XD6/SUMA6</t>
  </si>
  <si>
    <t>YE6=1-YA6-YB6-YC6-YD6</t>
  </si>
  <si>
    <t>XA5=(R1*YA6-XA0)/R</t>
  </si>
  <si>
    <t>XB5=(R1*YB6-XB0)/R</t>
  </si>
  <si>
    <t>XC5=(R1*YC6-XC0)/R</t>
  </si>
  <si>
    <t>XD5=(R1*YD6-XD0)/R</t>
  </si>
  <si>
    <t>XE5=1-XA5-XB5-XC5-XD5</t>
  </si>
  <si>
    <t>SUMA5=AA*XA5+AB*XB5+AC*XC5+AD*XD5+AE*XE5</t>
  </si>
  <si>
    <t>YA5=AA*XA5/SUMA5</t>
  </si>
  <si>
    <t>YB5=AB*XB5/SUMA5</t>
  </si>
  <si>
    <t>YC5=AC*XC5/SUMA5</t>
  </si>
  <si>
    <t>YD5=AD*XD5/SUMA5</t>
  </si>
  <si>
    <t>YE5=1-YA5-YB5-YC5-YD5</t>
  </si>
  <si>
    <t>XA4=(R1*YA5-XA0)/R</t>
  </si>
  <si>
    <t>XB4=(R1*YB5-XB0)/R</t>
  </si>
  <si>
    <t>XC4=(R1*YC5-XC0)/R</t>
  </si>
  <si>
    <t>XD4=(R1*YD5-XD0)/R</t>
  </si>
  <si>
    <t>XE4=1-XA4-XB4-XC4-XD4</t>
  </si>
  <si>
    <t>SUMA4=AA*XA4+AB*XB4+AC*XC4+AD*XD4+AE*XE4</t>
  </si>
  <si>
    <t>YA4=AA*XA4/SUMA4</t>
  </si>
  <si>
    <t>YB4=AB*XB4/SUMA4</t>
  </si>
  <si>
    <t>YC4=AC*XC4/SUMA4</t>
  </si>
  <si>
    <t>YD4=AD*XD4/SUMA4</t>
  </si>
  <si>
    <t>YE4=1-YA4-YB4-YC4-YD4</t>
  </si>
  <si>
    <t>XA3=(R1*YA4-XA0)/R</t>
  </si>
  <si>
    <t>XB3=(R1*YB4-XB0)/R</t>
  </si>
  <si>
    <t>XC3=(R1*YC4-XC0)/R</t>
  </si>
  <si>
    <t>XD3=(R1*YD4-XD0)/R</t>
  </si>
  <si>
    <t>XE3=1-XA3-XB3-XC3-XD3</t>
  </si>
  <si>
    <t>SUMA3=AA*XA3+AB*XB3+AC*XC3+AD*XD3+AE*XE3</t>
  </si>
  <si>
    <t>YA3=AA*XA3/SUMA3</t>
  </si>
  <si>
    <t>YB3=AB*XB3/SUMA3</t>
  </si>
  <si>
    <t>YC3=AC*XC3/SUMA3</t>
  </si>
  <si>
    <t>YD3=AD*XD3/SUMA3</t>
  </si>
  <si>
    <t>YE3=1-YA3-YB3-YC3-YD3</t>
  </si>
  <si>
    <t>XA2=(R1*YA3-XA0)/R</t>
  </si>
  <si>
    <t>XB2=(R1*YB3-XB0)/R</t>
  </si>
  <si>
    <t>XC2=(R1*YC3-XC0)/R</t>
  </si>
  <si>
    <t>XD2=(R1*YD3-XD0)/R</t>
  </si>
  <si>
    <t>XE2=1-XA2-XB2-XC2-XD2</t>
  </si>
  <si>
    <t>SUMA2=AA*XA2+AB*XB2+AC*XC2+AD*XD2+AE*XE2</t>
  </si>
  <si>
    <t>YA2=AA*XA2/SUMA2</t>
  </si>
  <si>
    <t>YB2=AB*XB2/SUMA2</t>
  </si>
  <si>
    <t>YC2=AC*XC2/SUMA2</t>
  </si>
  <si>
    <t>YD2=AD*XD2/SUMA2</t>
  </si>
  <si>
    <t>YE2=1-YA2-YB2-YC2-YD2</t>
  </si>
  <si>
    <t>XA1=(R1*YA2-XA0)/R</t>
  </si>
  <si>
    <t>XB1=(R1*YB2-XB0)/R</t>
  </si>
  <si>
    <t>XC1=(R1*YC2-XC0)/R</t>
  </si>
  <si>
    <t>XD1=(R1*YD2-XD0)/R</t>
  </si>
  <si>
    <t>XE1=1-XA1-XB1-XC1-XD1</t>
  </si>
  <si>
    <t>SUMA1=AA*XA1+AB*XB1+AC*XC1+AD*XD1+AE*XE1</t>
  </si>
  <si>
    <t>YA1=AA*XA1/SUMA1</t>
  </si>
  <si>
    <t>YB1=AB*XB1/SUMA1</t>
  </si>
  <si>
    <t>YC1=AC*XC1/SUMA1</t>
  </si>
  <si>
    <t>YD1=AD*XD1/SUMA1</t>
  </si>
  <si>
    <t>YE1=YA1-YB1-YC1-YD1</t>
  </si>
  <si>
    <t>//  VAPOUR COMPOSITIONS ON PLATES 1 TO 7</t>
  </si>
  <si>
    <t>//  REFLUX DRUM DYNAMICS</t>
  </si>
  <si>
    <t>dXA0/dt=(V*YA1-(L+D)*XA0)/MolHoldUpReflux</t>
  </si>
  <si>
    <t>dXB0/dt=(V*YB1-(L+D)*XB0)/MolHoldUpReflux</t>
  </si>
  <si>
    <t>dXC0/dt=(V*YC1-(L+D)*XC0)/MolHoldUpReflux</t>
  </si>
  <si>
    <t>dXD0/dt=(V*YD1-(L+D)*XD0)/MolHoldUpReflux</t>
  </si>
  <si>
    <t>XE0=1-XA0-XB0-XC0-XD0</t>
  </si>
  <si>
    <t>//  LIQUID COMPOSITIONS ON PLATES 1 TO 7</t>
  </si>
  <si>
    <t>//  Liquid Plate Dynamics neglected</t>
  </si>
  <si>
    <t>//   STILL DYNAMICS</t>
  </si>
  <si>
    <t>dMolHoldUpStill/dt=L-V</t>
  </si>
  <si>
    <t>dXA8/dt=(L*XA7-V*YA8)/MolHoldUpStill</t>
  </si>
  <si>
    <t>dXB8/dt=(L*XB7-V*YB8)/MolHoldUpStill</t>
  </si>
  <si>
    <t>dXC8/dt=(L*XC7-V*YC8)/MolHoldUpStill</t>
  </si>
  <si>
    <t>dXD8/dt=(L*XD7-V*YD8)/MolHoldUpStill</t>
  </si>
  <si>
    <t>//TOTAL DISTILLATE</t>
  </si>
  <si>
    <t>dDIST/dt=D</t>
  </si>
  <si>
    <t>record t,XA0,XB0,XC0,XD0,XE0,XA8,XB8,XC8,XD8,XE8 as "Batch5_Results#tag.csv" for t every 1</t>
  </si>
  <si>
    <t>record t,XA1,XB1,XC1,XD1,XE1,YA1,YB1,YC1,YD1,YE1 as "Plate1#tag.csv" for t every 1</t>
  </si>
  <si>
    <t>record t,XA2,XB2,XC2,XD2,XE2,YA2,YB2,YC2,YD2,YE2 as "Plate2#tag.csv" for t every 1</t>
  </si>
  <si>
    <t>record t,XA3,XB3,XC3,XD3,XE3,YA3,YB3,YC3,YD3,YE3 as "Plate3#tag.csv" for t every 1</t>
  </si>
  <si>
    <t>record t,XA4,XB4,XC4,XD4,XE4,YA4,YB4,YC4,YD4,YE4 as "Plate4#tag.csv" for t every 1</t>
  </si>
  <si>
    <t>record t,XA5,XB5,XC5,XD5,XE5,YA5,YB5,YC5,YD5,YE5 as "Plate5#tag.csv" for t every 1</t>
  </si>
  <si>
    <t>record t,XA6,XB6,XC6,XD6,XE6,YA6,YB6,YC6,YD6,YE6 as "Plate6#tag.csv" for t every 1</t>
  </si>
  <si>
    <t>record t,XA7,XB7,XC7,XD7,XE7,YA7,YB7,YC7,YD7,YE7 as "Plate7#tag.csv" for t every 1</t>
  </si>
  <si>
    <t>record t,XA8,XB8,XC8,XD8,XE8,YA8,YB8,YC8,YD8,YE8 as "Plate8#tag.csv" for t every 1</t>
  </si>
  <si>
    <t>record t,XA0,XA1,XA2,XA3,XA4,XA5,XA6,XA7,XA8 as "LiquidProfileA#tag.csv" for t every 1</t>
  </si>
  <si>
    <t>record t,YA1,YA2,YA3,YA4,YA5,YA6,YA7,YA8 as "VapourProfileA#tag.csv" for t every 1</t>
  </si>
  <si>
    <t>record t,DIST,MolHoldUpStill,L,V as "Still#tag.csv" for t every 1</t>
  </si>
  <si>
    <t xml:space="preserve"> solver RK4VS step 2.5E-3</t>
  </si>
  <si>
    <t xml:space="preserve"> solver RK3 // a second solver will cause the simulation to fail</t>
  </si>
  <si>
    <t>Trigger</t>
  </si>
  <si>
    <t>Model</t>
  </si>
  <si>
    <t>Run Name</t>
  </si>
  <si>
    <t>Run Number</t>
  </si>
  <si>
    <t>AA</t>
  </si>
  <si>
    <t>AB</t>
  </si>
  <si>
    <t>AC</t>
  </si>
  <si>
    <t>AD</t>
  </si>
  <si>
    <t>Run</t>
  </si>
  <si>
    <t>XA8</t>
  </si>
  <si>
    <t>XB8</t>
  </si>
  <si>
    <t>XC8</t>
  </si>
  <si>
    <t>XD8</t>
  </si>
  <si>
    <t>t</t>
  </si>
  <si>
    <t>Ex Time</t>
  </si>
  <si>
    <t>Ex Errors</t>
  </si>
  <si>
    <t>Start</t>
  </si>
  <si>
    <t>BatchDistil.sym</t>
  </si>
  <si>
    <t>Blue12</t>
  </si>
  <si>
    <t>BatchDistilFail.sym</t>
  </si>
  <si>
    <t>Green1</t>
  </si>
  <si>
    <t>Yellow1</t>
  </si>
  <si>
    <t>Red1</t>
  </si>
  <si>
    <t>White1</t>
  </si>
  <si>
    <t>Blue2</t>
  </si>
  <si>
    <t>Green2</t>
  </si>
  <si>
    <t>Red2</t>
  </si>
  <si>
    <t>Mauve</t>
  </si>
  <si>
    <t>Off White</t>
  </si>
  <si>
    <t>Notes for 2007 or later</t>
  </si>
  <si>
    <t>1) This means there are more dependencies for this type of workbook.</t>
  </si>
  <si>
    <t>2) For further information look at the help file under Running a model from a sheet cell.</t>
  </si>
  <si>
    <t xml:space="preserve">3) Note that all the result files are written to the local Workbook directory as files, not as sheets. </t>
  </si>
  <si>
    <t>Also see the use of the #Tag keyword to help support case runs.</t>
  </si>
  <si>
    <t>Note: This book may have opened slowly as it will have recalculated 10 runs when it opened.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</si>
</sst>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0"/>
      <color indexed="16"/>
      <name val="Arial"/>
      <family val="2"/>
    </font>
    <font>
      <b/>
      <sz val="10"/>
      <color indexed="16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1" fillId="0" borderId="0" xfId="1"/>
    <xf numFmtId="0" fontId="2" fillId="0" borderId="1" xfId="1" applyFont="1" applyBorder="1"/>
    <xf numFmtId="0" fontId="1" fillId="2" borderId="0" xfId="1" applyFill="1"/>
    <xf numFmtId="0" fontId="3" fillId="0" borderId="0" xfId="1" applyFont="1"/>
    <xf numFmtId="0" fontId="3" fillId="0" borderId="0" xfId="1" quotePrefix="1" applyFont="1"/>
    <xf numFmtId="0" fontId="4" fillId="0" borderId="0" xfId="1" quotePrefix="1" applyFont="1"/>
    <xf numFmtId="0" fontId="4" fillId="0" borderId="0" xfId="1" applyFont="1"/>
    <xf numFmtId="0" fontId="1" fillId="3" borderId="0" xfId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523875</xdr:colOff>
      <xdr:row>13</xdr:row>
      <xdr:rowOff>28575</xdr:rowOff>
    </xdr:from>
    <xdr:to>
      <xdr:col>11</xdr:col>
      <xdr:colOff>647700</xdr:colOff>
      <xdr:row>34</xdr:row>
      <xdr:rowOff>76200</xdr:rowOff>
    </xdr:to>
    <xdr:pic>
      <xdr:nvPicPr>
        <xdr:cNvPr id="2" name="Picture 160" descr="NumCatCallBacksHelp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91425" y="2133600"/>
          <a:ext cx="3171825" cy="344805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Numerical%20Catalyst\NumCa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fNumCatRL"/>
      <definedName name="fNumCatTrigg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Q23"/>
  <sheetViews>
    <sheetView tabSelected="1" workbookViewId="0">
      <selection activeCell="E26" sqref="E26"/>
    </sheetView>
  </sheetViews>
  <sheetFormatPr defaultRowHeight="12.75"/>
  <cols>
    <col min="1" max="1" width="9.140625" style="1"/>
    <col min="2" max="2" width="34.140625" style="1" customWidth="1"/>
    <col min="3" max="3" width="14.140625" style="1" customWidth="1"/>
    <col min="4" max="4" width="12" style="1" customWidth="1"/>
    <col min="5" max="8" width="9.140625" style="1"/>
    <col min="9" max="9" width="19.28515625" style="1" customWidth="1"/>
    <col min="10" max="10" width="12.7109375" style="1" customWidth="1"/>
    <col min="11" max="11" width="13.7109375" style="1" customWidth="1"/>
    <col min="12" max="13" width="12.7109375" style="1" customWidth="1"/>
    <col min="14" max="14" width="11.5703125" style="1" customWidth="1"/>
    <col min="15" max="15" width="13" style="1" customWidth="1"/>
    <col min="16" max="16" width="0" style="1" hidden="1" customWidth="1"/>
    <col min="17" max="16384" width="9.140625" style="1"/>
  </cols>
  <sheetData>
    <row r="1" spans="1:17" s="2" customFormat="1">
      <c r="A1" s="2" t="s">
        <v>152</v>
      </c>
      <c r="B1" s="2" t="s">
        <v>153</v>
      </c>
      <c r="C1" s="2" t="s">
        <v>154</v>
      </c>
      <c r="D1" s="2" t="s">
        <v>155</v>
      </c>
      <c r="E1" s="2" t="s">
        <v>156</v>
      </c>
      <c r="F1" s="2" t="s">
        <v>157</v>
      </c>
      <c r="G1" s="2" t="s">
        <v>158</v>
      </c>
      <c r="H1" s="2" t="s">
        <v>159</v>
      </c>
      <c r="I1" s="2" t="s">
        <v>160</v>
      </c>
      <c r="J1" s="2" t="s">
        <v>161</v>
      </c>
      <c r="K1" s="2" t="s">
        <v>162</v>
      </c>
      <c r="L1" s="2" t="s">
        <v>163</v>
      </c>
      <c r="M1" s="2" t="s">
        <v>164</v>
      </c>
      <c r="N1" s="2" t="s">
        <v>165</v>
      </c>
      <c r="O1" s="2" t="s">
        <v>156</v>
      </c>
      <c r="P1" s="2" t="s">
        <v>166</v>
      </c>
      <c r="Q1" s="2" t="s">
        <v>167</v>
      </c>
    </row>
    <row r="2" spans="1:17">
      <c r="E2" s="1" t="s">
        <v>168</v>
      </c>
      <c r="F2" s="1" t="s">
        <v>168</v>
      </c>
      <c r="G2" s="1" t="s">
        <v>168</v>
      </c>
      <c r="H2" s="1" t="s">
        <v>168</v>
      </c>
    </row>
    <row r="3" spans="1:17">
      <c r="A3" s="3">
        <v>3</v>
      </c>
      <c r="B3" s="1" t="s">
        <v>169</v>
      </c>
      <c r="C3" s="1" t="s">
        <v>170</v>
      </c>
      <c r="D3" s="1">
        <f t="shared" ref="D3:D12" si="0">A$3</f>
        <v>3</v>
      </c>
      <c r="E3" s="1">
        <v>2</v>
      </c>
      <c r="F3" s="1">
        <v>1.5</v>
      </c>
      <c r="G3" s="1">
        <v>1</v>
      </c>
      <c r="H3" s="1">
        <v>0.5</v>
      </c>
      <c r="I3" s="1" t="str">
        <f>[1]!fNumCatTrigger(C3,B3,D3,(E$1:H$2,E3:H3),(J$1:Q$1,J3:Q3))</f>
        <v>Blue12-3-08/08/2011 17:26:03</v>
      </c>
      <c r="J3" s="1">
        <f>[1]!fNumCatRL($B3,$I3,J$1)</f>
        <v>4.7901019037700096E-8</v>
      </c>
      <c r="K3" s="1">
        <f>[1]!fNumCatRL($B3,$I3,K$1)</f>
        <v>8.5823593443024696E-5</v>
      </c>
      <c r="L3" s="1">
        <f>[1]!fNumCatRL($B3,$I3,L$1)</f>
        <v>2.9790354101362923E-2</v>
      </c>
      <c r="M3" s="1">
        <f>[1]!fNumCatRL($B3,$I3,M$1)</f>
        <v>0.19631555949397037</v>
      </c>
      <c r="N3" s="1">
        <f>[1]!fNumCatRL($B3,$I3,N$1)</f>
        <v>500.06687569630321</v>
      </c>
      <c r="O3" s="1">
        <f>[1]!fNumCatRL($B3,$I3,O$1)</f>
        <v>2</v>
      </c>
      <c r="Q3" s="1" t="str">
        <f>[1]!fNumCatRL($B3,$I3,Q$1)</f>
        <v/>
      </c>
    </row>
    <row r="4" spans="1:17">
      <c r="B4" s="1" t="s">
        <v>171</v>
      </c>
      <c r="C4" s="1" t="s">
        <v>172</v>
      </c>
      <c r="D4" s="1">
        <f t="shared" si="0"/>
        <v>3</v>
      </c>
      <c r="E4" s="1">
        <v>1.9433873181349339</v>
      </c>
      <c r="F4" s="1">
        <v>1.4483616389165845</v>
      </c>
      <c r="G4" s="1">
        <v>0.99709755569151659</v>
      </c>
      <c r="H4" s="1">
        <v>0.51520374536400115</v>
      </c>
      <c r="I4" s="1" t="str">
        <f>[1]!fNumCatTrigger(C4,B4,D4,(E$1:H$2,E4:H4),(J$1:Q$1,J4:Q4))</f>
        <v>FAILED Green1-3-08/08/2011 17:26:02</v>
      </c>
      <c r="J4" s="1" t="str">
        <f>[1]!fNumCatRL($B4,$I4,J$1)</f>
        <v>Not Found</v>
      </c>
      <c r="K4" s="1" t="str">
        <f>[1]!fNumCatRL($B4,$I4,K$1)</f>
        <v>Not Found</v>
      </c>
      <c r="L4" s="1" t="str">
        <f>[1]!fNumCatRL($B4,$I4,L$1)</f>
        <v>Not Found</v>
      </c>
      <c r="M4" s="1" t="str">
        <f>[1]!fNumCatRL($B4,$I4,M$1)</f>
        <v>Not Found</v>
      </c>
      <c r="N4" s="1" t="str">
        <f>[1]!fNumCatRL($B4,$I4,N$1)</f>
        <v>Not Found</v>
      </c>
      <c r="O4" s="1" t="str">
        <f>[1]!fNumCatRL($B4,$I4,O$1)</f>
        <v>Not Found</v>
      </c>
      <c r="Q4" s="1" t="str">
        <f>[1]!fNumCatRL($B4,$I4,Q$1)</f>
        <v>Errors found 
Only one solver statement is allowed : [solver]  Loc BatchDistilFail.sym Line:28
Only one solver statement is allowed : [solver]  Loc BatchDistilFail.sym Line:29</v>
      </c>
    </row>
    <row r="5" spans="1:17">
      <c r="B5" s="1" t="s">
        <v>169</v>
      </c>
      <c r="C5" s="1" t="s">
        <v>173</v>
      </c>
      <c r="D5" s="1">
        <f t="shared" si="0"/>
        <v>3</v>
      </c>
      <c r="E5" s="1">
        <v>2.0221566833484119</v>
      </c>
      <c r="F5" s="1">
        <v>1.4507118232286846</v>
      </c>
      <c r="G5" s="1">
        <v>1.042987986901327</v>
      </c>
      <c r="H5" s="1">
        <v>0.52218107662551949</v>
      </c>
      <c r="I5" s="1" t="str">
        <f>[1]!fNumCatTrigger(C5,B5,D5,(E$1:H$2,E5:H5),(J$1:Q$1,J5:Q5))</f>
        <v>Yellow1-3-08/08/2011 17:26:01</v>
      </c>
      <c r="J5" s="1">
        <f>[1]!fNumCatRL($B5,$I5,J$1)</f>
        <v>6.6302586660204983E-8</v>
      </c>
      <c r="K5" s="1">
        <f>[1]!fNumCatRL($B5,$I5,K$1)</f>
        <v>2.7345436812566446E-4</v>
      </c>
      <c r="L5" s="1">
        <f>[1]!fNumCatRL($B5,$I5,L$1)</f>
        <v>2.9540005206468649E-2</v>
      </c>
      <c r="M5" s="1">
        <f>[1]!fNumCatRL($B5,$I5,M$1)</f>
        <v>0.19641732954474772</v>
      </c>
      <c r="N5" s="1">
        <f>[1]!fNumCatRL($B5,$I5,N$1)</f>
        <v>500.04261747401097</v>
      </c>
      <c r="O5" s="1">
        <f>[1]!fNumCatRL($B5,$I5,O$1)</f>
        <v>2.0221566833484119</v>
      </c>
      <c r="Q5" s="1" t="str">
        <f>[1]!fNumCatRL($B5,$I5,Q$1)</f>
        <v/>
      </c>
    </row>
    <row r="6" spans="1:17">
      <c r="B6" s="1" t="s">
        <v>169</v>
      </c>
      <c r="C6" s="1" t="s">
        <v>174</v>
      </c>
      <c r="D6" s="1">
        <f t="shared" si="0"/>
        <v>3</v>
      </c>
      <c r="E6" s="1">
        <v>2.0551109610569114</v>
      </c>
      <c r="F6" s="1">
        <v>1.4817506958240931</v>
      </c>
      <c r="G6" s="1">
        <v>1.0662959625633839</v>
      </c>
      <c r="H6" s="1">
        <v>0.52318571954494575</v>
      </c>
      <c r="I6" s="1" t="str">
        <f>[1]!fNumCatTrigger(C6,B6,D6,(E$1:H$2,E6:H6),(J$1:Q$1,J6:Q6))</f>
        <v>Red1-3-08/08/2011 17:25:59</v>
      </c>
      <c r="J6" s="1">
        <f>[1]!fNumCatRL($B6,$I6,J$1)</f>
        <v>6.4947617870367574E-8</v>
      </c>
      <c r="K6" s="1">
        <f>[1]!fNumCatRL($B6,$I6,K$1)</f>
        <v>2.5812206099213241E-4</v>
      </c>
      <c r="L6" s="1">
        <f>[1]!fNumCatRL($B6,$I6,L$1)</f>
        <v>2.9086049719856486E-2</v>
      </c>
      <c r="M6" s="1">
        <f>[1]!fNumCatRL($B6,$I6,M$1)</f>
        <v>0.1969438169679712</v>
      </c>
      <c r="N6" s="1">
        <f>[1]!fNumCatRL($B6,$I6,N$1)</f>
        <v>500.0071535734387</v>
      </c>
      <c r="O6" s="1">
        <f>[1]!fNumCatRL($B6,$I6,O$1)</f>
        <v>2.0551109610569114</v>
      </c>
      <c r="Q6" s="1" t="str">
        <f>[1]!fNumCatRL($B6,$I6,Q$1)</f>
        <v/>
      </c>
    </row>
    <row r="7" spans="1:17">
      <c r="B7" s="1" t="s">
        <v>169</v>
      </c>
      <c r="C7" s="1" t="s">
        <v>175</v>
      </c>
      <c r="D7" s="1">
        <f t="shared" si="0"/>
        <v>3</v>
      </c>
      <c r="E7" s="1">
        <v>2.04386574915265</v>
      </c>
      <c r="F7" s="1">
        <v>1.4240816457343992</v>
      </c>
      <c r="G7" s="1">
        <v>1.1053726204456318</v>
      </c>
      <c r="H7" s="1">
        <v>0.53235860440977978</v>
      </c>
      <c r="I7" s="1" t="str">
        <f>[1]!fNumCatTrigger(C7,B7,D7,(E$1:H$2,E7:H7),(J$1:Q$1,J7:Q7))</f>
        <v>White1-3-08/08/2011 17:25:57</v>
      </c>
      <c r="J7" s="1">
        <f>[1]!fNumCatRL($B7,$I7,J$1)</f>
        <v>1.1061511407504636E-7</v>
      </c>
      <c r="K7" s="1">
        <f>[1]!fNumCatRL($B7,$I7,K$1)</f>
        <v>7.6846003375784157E-4</v>
      </c>
      <c r="L7" s="1">
        <f>[1]!fNumCatRL($B7,$I7,L$1)</f>
        <v>2.766063854741729E-2</v>
      </c>
      <c r="M7" s="1">
        <f>[1]!fNumCatRL($B7,$I7,M$1)</f>
        <v>0.19740354273826841</v>
      </c>
      <c r="N7" s="1">
        <f>[1]!fNumCatRL($B7,$I7,N$1)</f>
        <v>500.28925155221896</v>
      </c>
      <c r="O7" s="1">
        <f>[1]!fNumCatRL($B7,$I7,O$1)</f>
        <v>2.04386574915265</v>
      </c>
      <c r="Q7" s="1" t="str">
        <f>[1]!fNumCatRL($B7,$I7,Q$1)</f>
        <v/>
      </c>
    </row>
    <row r="8" spans="1:17">
      <c r="B8" s="1" t="s">
        <v>169</v>
      </c>
      <c r="C8" s="1" t="s">
        <v>176</v>
      </c>
      <c r="D8" s="1">
        <f t="shared" si="0"/>
        <v>3</v>
      </c>
      <c r="E8" s="1">
        <v>0.5</v>
      </c>
      <c r="F8" s="1">
        <v>1.4548878080803969</v>
      </c>
      <c r="G8" s="1">
        <v>1.1538020996247618</v>
      </c>
      <c r="H8" s="1">
        <v>0.54835801166584042</v>
      </c>
      <c r="I8" s="1" t="str">
        <f>[1]!fNumCatTrigger(C8,B8,D8,(E$1:H$2,E8:H8),(J$1:Q$1,J8:Q8))</f>
        <v>Blue2-3-08/08/2011 17:25:53</v>
      </c>
      <c r="J8" s="1">
        <f>[1]!fNumCatRL($B8,$I8,J$1)</f>
        <v>0.12998050959446208</v>
      </c>
      <c r="K8" s="1">
        <f>[1]!fNumCatRL($B8,$I8,K$1)</f>
        <v>1.8204752029547156E-7</v>
      </c>
      <c r="L8" s="1">
        <f>[1]!fNumCatRL($B8,$I8,L$1)</f>
        <v>3.9460571574506175E-5</v>
      </c>
      <c r="M8" s="1">
        <f>[1]!fNumCatRL($B8,$I8,M$1)</f>
        <v>9.6157404644901093E-2</v>
      </c>
      <c r="N8" s="1">
        <f>[1]!fNumCatRL($B8,$I8,N$1)</f>
        <v>500.0800730441166</v>
      </c>
      <c r="O8" s="1">
        <f>[1]!fNumCatRL($B8,$I8,O$1)</f>
        <v>0.5</v>
      </c>
      <c r="Q8" s="1" t="str">
        <f>[1]!fNumCatRL($B8,$I8,Q$1)</f>
        <v/>
      </c>
    </row>
    <row r="9" spans="1:17">
      <c r="B9" s="1" t="s">
        <v>169</v>
      </c>
      <c r="C9" s="1" t="s">
        <v>177</v>
      </c>
      <c r="D9" s="1">
        <f t="shared" si="0"/>
        <v>3</v>
      </c>
      <c r="E9" s="1">
        <v>0.4758314587399336</v>
      </c>
      <c r="F9" s="1">
        <v>1.5159242324021507</v>
      </c>
      <c r="G9" s="1">
        <v>1.1523741637535008</v>
      </c>
      <c r="H9" s="1">
        <v>0.55870094089668354</v>
      </c>
      <c r="I9" s="1" t="str">
        <f>[1]!fNumCatTrigger(C9,B9,D9,(E$1:H$2,E9:H9),(J$1:Q$1,J9:Q9))</f>
        <v>Green2-3-08/08/2011 17:25:48</v>
      </c>
      <c r="J9" s="1">
        <f>[1]!fNumCatRL($B9,$I9,J$1)</f>
        <v>0.14217061500214997</v>
      </c>
      <c r="K9" s="1">
        <f>[1]!fNumCatRL($B9,$I9,K$1)</f>
        <v>5.1856204875067452E-8</v>
      </c>
      <c r="L9" s="1">
        <f>[1]!fNumCatRL($B9,$I9,L$1)</f>
        <v>3.5505311840507463E-5</v>
      </c>
      <c r="M9" s="1">
        <f>[1]!fNumCatRL($B9,$I9,M$1)</f>
        <v>8.4097334273740054E-2</v>
      </c>
      <c r="N9" s="1">
        <f>[1]!fNumCatRL($B9,$I9,N$1)</f>
        <v>500.00247008094129</v>
      </c>
      <c r="O9" s="1">
        <f>[1]!fNumCatRL($B9,$I9,O$1)</f>
        <v>0.4758314587399336</v>
      </c>
      <c r="Q9" s="1" t="str">
        <f>[1]!fNumCatRL($B9,$I9,Q$1)</f>
        <v/>
      </c>
    </row>
    <row r="10" spans="1:17">
      <c r="B10" s="1" t="s">
        <v>169</v>
      </c>
      <c r="C10" s="1" t="s">
        <v>178</v>
      </c>
      <c r="D10" s="1">
        <f t="shared" si="0"/>
        <v>3</v>
      </c>
      <c r="E10" s="1">
        <v>0.47735796786782092</v>
      </c>
      <c r="F10" s="1">
        <v>1.460823354899462</v>
      </c>
      <c r="G10" s="1">
        <v>1.1286876277999569</v>
      </c>
      <c r="H10" s="1">
        <v>0.58347024589398355</v>
      </c>
      <c r="I10" s="1" t="str">
        <f>[1]!fNumCatTrigger(C10,B10,D10,(E$1:H$2,E10:H10),(J$1:Q$1,J10:Q10))</f>
        <v>Red2-3-08/08/2011 17:25:44</v>
      </c>
      <c r="J10" s="1">
        <f>[1]!fNumCatRL($B10,$I10,J$1)</f>
        <v>0.14909018486941272</v>
      </c>
      <c r="K10" s="1">
        <f>[1]!fNumCatRL($B10,$I10,K$1)</f>
        <v>1.48481949079026E-7</v>
      </c>
      <c r="L10" s="1">
        <f>[1]!fNumCatRL($B10,$I10,L$1)</f>
        <v>5.6390577250680782E-5</v>
      </c>
      <c r="M10" s="1">
        <f>[1]!fNumCatRL($B10,$I10,M$1)</f>
        <v>7.7130506367640461E-2</v>
      </c>
      <c r="N10" s="1">
        <f>[1]!fNumCatRL($B10,$I10,N$1)</f>
        <v>500.01777568485056</v>
      </c>
      <c r="O10" s="1">
        <f>[1]!fNumCatRL($B10,$I10,O$1)</f>
        <v>0.47735796786782092</v>
      </c>
      <c r="Q10" s="1" t="str">
        <f>[1]!fNumCatRL($B10,$I10,Q$1)</f>
        <v/>
      </c>
    </row>
    <row r="11" spans="1:17">
      <c r="B11" s="1" t="s">
        <v>169</v>
      </c>
      <c r="C11" s="1" t="s">
        <v>179</v>
      </c>
      <c r="D11" s="1">
        <f t="shared" si="0"/>
        <v>3</v>
      </c>
      <c r="E11" s="1">
        <v>0.47761897867484304</v>
      </c>
      <c r="F11" s="1">
        <v>1.4753536571487256</v>
      </c>
      <c r="G11" s="1">
        <v>1.1488697491648938</v>
      </c>
      <c r="H11" s="1">
        <v>0.60015243848552979</v>
      </c>
      <c r="I11" s="1" t="str">
        <f>[1]!fNumCatTrigger(C11,B11,D11,(E$1:H$2,E11:H11),(J$1:Q$1,J11:Q11))</f>
        <v>Mauve-3-08/08/2011 17:25:40</v>
      </c>
      <c r="J11" s="1">
        <f>[1]!fNumCatRL($B11,$I11,J$1)</f>
        <v>0.15357317547543725</v>
      </c>
      <c r="K11" s="1">
        <f>[1]!fNumCatRL($B11,$I11,K$1)</f>
        <v>1.6323129024461812E-7</v>
      </c>
      <c r="L11" s="1">
        <f>[1]!fNumCatRL($B11,$I11,L$1)</f>
        <v>5.2686783708130378E-5</v>
      </c>
      <c r="M11" s="1">
        <f>[1]!fNumCatRL($B11,$I11,M$1)</f>
        <v>7.2648035176214529E-2</v>
      </c>
      <c r="N11" s="1">
        <f>[1]!fNumCatRL($B11,$I11,N$1)</f>
        <v>500.0192314786658</v>
      </c>
      <c r="O11" s="1">
        <f>[1]!fNumCatRL($B11,$I11,O$1)</f>
        <v>0.47761897867484304</v>
      </c>
      <c r="Q11" s="1" t="str">
        <f>[1]!fNumCatRL($B11,$I11,Q$1)</f>
        <v/>
      </c>
    </row>
    <row r="12" spans="1:17">
      <c r="B12" s="1" t="s">
        <v>169</v>
      </c>
      <c r="C12" s="1" t="s">
        <v>180</v>
      </c>
      <c r="D12" s="1">
        <f t="shared" si="0"/>
        <v>3</v>
      </c>
      <c r="E12" s="1">
        <v>0.47616946719974362</v>
      </c>
      <c r="F12" s="1">
        <v>1.4689681694119787</v>
      </c>
      <c r="G12" s="1">
        <v>1.1721042673582336</v>
      </c>
      <c r="H12" s="1">
        <v>0.60650826699630445</v>
      </c>
      <c r="I12" s="1" t="str">
        <f>[1]!fNumCatTrigger(C12,B12,D12,(E$1:H$2,E12:H12),(J$1:Q$1,J12:Q12))</f>
        <v>Off White-3-08/08/2011 17:25:36</v>
      </c>
      <c r="J12" s="1">
        <f>[1]!fNumCatRL($B12,$I12,J$1)</f>
        <v>0.15566499762068889</v>
      </c>
      <c r="K12" s="1">
        <f>[1]!fNumCatRL($B12,$I12,K$1)</f>
        <v>2.273339453588796E-7</v>
      </c>
      <c r="L12" s="1">
        <f>[1]!fNumCatRL($B12,$I12,L$1)</f>
        <v>4.2355676000254706E-5</v>
      </c>
      <c r="M12" s="1">
        <f>[1]!fNumCatRL($B12,$I12,M$1)</f>
        <v>7.0596454921747348E-2</v>
      </c>
      <c r="N12" s="1">
        <f>[1]!fNumCatRL($B12,$I12,N$1)</f>
        <v>500.00052028385971</v>
      </c>
      <c r="O12" s="1">
        <f>[1]!fNumCatRL($B12,$I12,O$1)</f>
        <v>0.47616946719974362</v>
      </c>
      <c r="Q12" s="1" t="str">
        <f>[1]!fNumCatRL($B12,$I12,Q$1)</f>
        <v/>
      </c>
    </row>
    <row r="16" spans="1:17">
      <c r="B16" s="4" t="s">
        <v>181</v>
      </c>
      <c r="C16" s="4"/>
      <c r="D16" s="4"/>
      <c r="E16" s="4"/>
      <c r="F16" s="4"/>
      <c r="G16" s="4"/>
      <c r="H16" s="4"/>
    </row>
    <row r="17" spans="2:8">
      <c r="B17" s="5"/>
      <c r="C17" s="4"/>
      <c r="D17" s="4"/>
      <c r="E17" s="4"/>
      <c r="F17" s="4"/>
      <c r="G17" s="4"/>
      <c r="H17" s="4"/>
    </row>
    <row r="18" spans="2:8">
      <c r="B18" s="5" t="s">
        <v>182</v>
      </c>
      <c r="C18" s="4"/>
      <c r="D18" s="4"/>
      <c r="E18" s="4"/>
      <c r="F18" s="4"/>
      <c r="G18" s="4"/>
      <c r="H18" s="4"/>
    </row>
    <row r="19" spans="2:8">
      <c r="B19" s="4" t="s">
        <v>183</v>
      </c>
      <c r="C19" s="4"/>
      <c r="D19" s="4"/>
      <c r="E19" s="4"/>
      <c r="F19" s="4"/>
      <c r="G19" s="4"/>
      <c r="H19" s="4"/>
    </row>
    <row r="20" spans="2:8">
      <c r="B20" s="6" t="s">
        <v>184</v>
      </c>
    </row>
    <row r="21" spans="2:8">
      <c r="B21" s="7" t="s">
        <v>185</v>
      </c>
    </row>
    <row r="23" spans="2:8">
      <c r="B23" s="8" t="s">
        <v>186</v>
      </c>
      <c r="C23" s="8"/>
      <c r="D23" s="8"/>
      <c r="E23" s="8"/>
      <c r="F23" s="8"/>
    </row>
  </sheetData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A189"/>
  <sheetViews>
    <sheetView workbookViewId="0">
      <selection activeCell="I21" sqref="I21"/>
    </sheetView>
  </sheetViews>
  <sheetFormatPr defaultRowHeight="12.75"/>
  <cols>
    <col min="1" max="16384" width="9.140625" style="1"/>
  </cols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5" spans="1:1">
      <c r="A5" s="1" t="s">
        <v>3</v>
      </c>
    </row>
    <row r="6" spans="1:1">
      <c r="A6" s="1" t="s">
        <v>4</v>
      </c>
    </row>
    <row r="8" spans="1:1">
      <c r="A8" s="1" t="s">
        <v>5</v>
      </c>
    </row>
    <row r="9" spans="1:1">
      <c r="A9" s="1" t="s">
        <v>6</v>
      </c>
    </row>
    <row r="10" spans="1:1">
      <c r="A10" s="1" t="s">
        <v>7</v>
      </c>
    </row>
    <row r="12" spans="1:1">
      <c r="A12" s="1" t="s">
        <v>8</v>
      </c>
    </row>
    <row r="13" spans="1:1">
      <c r="A13" s="1" t="s">
        <v>9</v>
      </c>
    </row>
    <row r="14" spans="1:1">
      <c r="A14" s="1" t="s">
        <v>10</v>
      </c>
    </row>
    <row r="15" spans="1:1">
      <c r="A15" s="1" t="s">
        <v>11</v>
      </c>
    </row>
    <row r="16" spans="1:1">
      <c r="A16" s="1" t="s">
        <v>12</v>
      </c>
    </row>
    <row r="17" spans="1:1">
      <c r="A17" s="1" t="s">
        <v>13</v>
      </c>
    </row>
    <row r="19" spans="1:1">
      <c r="A19" s="1" t="s">
        <v>14</v>
      </c>
    </row>
    <row r="20" spans="1:1">
      <c r="A20" s="1" t="s">
        <v>15</v>
      </c>
    </row>
    <row r="21" spans="1:1">
      <c r="A21" s="1" t="s">
        <v>16</v>
      </c>
    </row>
    <row r="22" spans="1:1">
      <c r="A22" s="1" t="s">
        <v>17</v>
      </c>
    </row>
    <row r="23" spans="1:1">
      <c r="A23" s="1" t="s">
        <v>18</v>
      </c>
    </row>
    <row r="24" spans="1:1">
      <c r="A24" s="1" t="s">
        <v>19</v>
      </c>
    </row>
    <row r="26" spans="1:1">
      <c r="A26" s="1" t="s">
        <v>20</v>
      </c>
    </row>
    <row r="27" spans="1:1">
      <c r="A27" s="1" t="s">
        <v>21</v>
      </c>
    </row>
    <row r="29" spans="1:1">
      <c r="A29" s="1" t="s">
        <v>150</v>
      </c>
    </row>
    <row r="30" spans="1:1">
      <c r="A30" s="1" t="s">
        <v>151</v>
      </c>
    </row>
    <row r="32" spans="1:1">
      <c r="A32" s="1" t="s">
        <v>23</v>
      </c>
    </row>
    <row r="33" spans="1:1">
      <c r="A33" s="1" t="s">
        <v>24</v>
      </c>
    </row>
    <row r="34" spans="1:1">
      <c r="A34" s="1" t="s">
        <v>25</v>
      </c>
    </row>
    <row r="35" spans="1:1">
      <c r="A35" s="1" t="s">
        <v>26</v>
      </c>
    </row>
    <row r="37" spans="1:1">
      <c r="A37" s="1" t="s">
        <v>27</v>
      </c>
    </row>
    <row r="38" spans="1:1">
      <c r="A38" s="1" t="s">
        <v>28</v>
      </c>
    </row>
    <row r="39" spans="1:1">
      <c r="A39" s="1" t="s">
        <v>29</v>
      </c>
    </row>
    <row r="40" spans="1:1">
      <c r="A40" s="1" t="s">
        <v>30</v>
      </c>
    </row>
    <row r="41" spans="1:1">
      <c r="A41" s="1" t="s">
        <v>31</v>
      </c>
    </row>
    <row r="42" spans="1:1">
      <c r="A42" s="1" t="s">
        <v>32</v>
      </c>
    </row>
    <row r="44" spans="1:1">
      <c r="A44" s="1" t="s">
        <v>33</v>
      </c>
    </row>
    <row r="45" spans="1:1">
      <c r="A45" s="1" t="s">
        <v>34</v>
      </c>
    </row>
    <row r="46" spans="1:1">
      <c r="A46" s="1" t="s">
        <v>35</v>
      </c>
    </row>
    <row r="48" spans="1:1">
      <c r="A48" s="1" t="s">
        <v>36</v>
      </c>
    </row>
    <row r="50" spans="1:1">
      <c r="A50" s="1" t="s">
        <v>37</v>
      </c>
    </row>
    <row r="52" spans="1:1">
      <c r="A52" s="1" t="s">
        <v>38</v>
      </c>
    </row>
    <row r="53" spans="1:1">
      <c r="A53" s="1" t="s">
        <v>39</v>
      </c>
    </row>
    <row r="54" spans="1:1">
      <c r="A54" s="1" t="s">
        <v>40</v>
      </c>
    </row>
    <row r="55" spans="1:1">
      <c r="A55" s="1" t="s">
        <v>41</v>
      </c>
    </row>
    <row r="56" spans="1:1">
      <c r="A56" s="1" t="s">
        <v>42</v>
      </c>
    </row>
    <row r="57" spans="1:1">
      <c r="A57" s="1" t="s">
        <v>43</v>
      </c>
    </row>
    <row r="59" spans="1:1">
      <c r="A59" s="1" t="s">
        <v>44</v>
      </c>
    </row>
    <row r="60" spans="1:1">
      <c r="A60" s="1" t="s">
        <v>45</v>
      </c>
    </row>
    <row r="61" spans="1:1">
      <c r="A61" s="1" t="s">
        <v>46</v>
      </c>
    </row>
    <row r="62" spans="1:1">
      <c r="A62" s="1" t="s">
        <v>47</v>
      </c>
    </row>
    <row r="63" spans="1:1">
      <c r="A63" s="1" t="s">
        <v>48</v>
      </c>
    </row>
    <row r="64" spans="1:1">
      <c r="A64" s="1" t="s">
        <v>49</v>
      </c>
    </row>
    <row r="66" spans="1:1">
      <c r="A66" s="1" t="s">
        <v>50</v>
      </c>
    </row>
    <row r="67" spans="1:1">
      <c r="A67" s="1" t="s">
        <v>51</v>
      </c>
    </row>
    <row r="68" spans="1:1">
      <c r="A68" s="1" t="s">
        <v>52</v>
      </c>
    </row>
    <row r="69" spans="1:1">
      <c r="A69" s="1" t="s">
        <v>53</v>
      </c>
    </row>
    <row r="70" spans="1:1">
      <c r="A70" s="1" t="s">
        <v>54</v>
      </c>
    </row>
    <row r="72" spans="1:1">
      <c r="A72" s="1" t="s">
        <v>55</v>
      </c>
    </row>
    <row r="73" spans="1:1">
      <c r="A73" s="1" t="s">
        <v>56</v>
      </c>
    </row>
    <row r="74" spans="1:1">
      <c r="A74" s="1" t="s">
        <v>57</v>
      </c>
    </row>
    <row r="75" spans="1:1">
      <c r="A75" s="1" t="s">
        <v>58</v>
      </c>
    </row>
    <row r="76" spans="1:1">
      <c r="A76" s="1" t="s">
        <v>59</v>
      </c>
    </row>
    <row r="77" spans="1:1">
      <c r="A77" s="1" t="s">
        <v>60</v>
      </c>
    </row>
    <row r="79" spans="1:1">
      <c r="A79" s="1" t="s">
        <v>61</v>
      </c>
    </row>
    <row r="80" spans="1:1">
      <c r="A80" s="1" t="s">
        <v>62</v>
      </c>
    </row>
    <row r="81" spans="1:1">
      <c r="A81" s="1" t="s">
        <v>63</v>
      </c>
    </row>
    <row r="82" spans="1:1">
      <c r="A82" s="1" t="s">
        <v>64</v>
      </c>
    </row>
    <row r="83" spans="1:1">
      <c r="A83" s="1" t="s">
        <v>65</v>
      </c>
    </row>
    <row r="85" spans="1:1">
      <c r="A85" s="1" t="s">
        <v>66</v>
      </c>
    </row>
    <row r="86" spans="1:1">
      <c r="A86" s="1" t="s">
        <v>67</v>
      </c>
    </row>
    <row r="87" spans="1:1">
      <c r="A87" s="1" t="s">
        <v>68</v>
      </c>
    </row>
    <row r="88" spans="1:1">
      <c r="A88" s="1" t="s">
        <v>69</v>
      </c>
    </row>
    <row r="89" spans="1:1">
      <c r="A89" s="1" t="s">
        <v>70</v>
      </c>
    </row>
    <row r="90" spans="1:1">
      <c r="A90" s="1" t="s">
        <v>71</v>
      </c>
    </row>
    <row r="92" spans="1:1">
      <c r="A92" s="1" t="s">
        <v>72</v>
      </c>
    </row>
    <row r="93" spans="1:1">
      <c r="A93" s="1" t="s">
        <v>73</v>
      </c>
    </row>
    <row r="94" spans="1:1">
      <c r="A94" s="1" t="s">
        <v>74</v>
      </c>
    </row>
    <row r="95" spans="1:1">
      <c r="A95" s="1" t="s">
        <v>75</v>
      </c>
    </row>
    <row r="96" spans="1:1">
      <c r="A96" s="1" t="s">
        <v>76</v>
      </c>
    </row>
    <row r="98" spans="1:1">
      <c r="A98" s="1" t="s">
        <v>77</v>
      </c>
    </row>
    <row r="99" spans="1:1">
      <c r="A99" s="1" t="s">
        <v>78</v>
      </c>
    </row>
    <row r="100" spans="1:1">
      <c r="A100" s="1" t="s">
        <v>79</v>
      </c>
    </row>
    <row r="101" spans="1:1">
      <c r="A101" s="1" t="s">
        <v>80</v>
      </c>
    </row>
    <row r="102" spans="1:1">
      <c r="A102" s="1" t="s">
        <v>81</v>
      </c>
    </row>
    <row r="103" spans="1:1">
      <c r="A103" s="1" t="s">
        <v>82</v>
      </c>
    </row>
    <row r="105" spans="1:1">
      <c r="A105" s="1" t="s">
        <v>83</v>
      </c>
    </row>
    <row r="106" spans="1:1">
      <c r="A106" s="1" t="s">
        <v>84</v>
      </c>
    </row>
    <row r="107" spans="1:1">
      <c r="A107" s="1" t="s">
        <v>85</v>
      </c>
    </row>
    <row r="108" spans="1:1">
      <c r="A108" s="1" t="s">
        <v>86</v>
      </c>
    </row>
    <row r="109" spans="1:1">
      <c r="A109" s="1" t="s">
        <v>87</v>
      </c>
    </row>
    <row r="111" spans="1:1">
      <c r="A111" s="1" t="s">
        <v>88</v>
      </c>
    </row>
    <row r="112" spans="1:1">
      <c r="A112" s="1" t="s">
        <v>89</v>
      </c>
    </row>
    <row r="113" spans="1:1">
      <c r="A113" s="1" t="s">
        <v>90</v>
      </c>
    </row>
    <row r="114" spans="1:1">
      <c r="A114" s="1" t="s">
        <v>91</v>
      </c>
    </row>
    <row r="115" spans="1:1">
      <c r="A115" s="1" t="s">
        <v>92</v>
      </c>
    </row>
    <row r="116" spans="1:1">
      <c r="A116" s="1" t="s">
        <v>93</v>
      </c>
    </row>
    <row r="118" spans="1:1">
      <c r="A118" s="1" t="s">
        <v>94</v>
      </c>
    </row>
    <row r="119" spans="1:1">
      <c r="A119" s="1" t="s">
        <v>95</v>
      </c>
    </row>
    <row r="120" spans="1:1">
      <c r="A120" s="1" t="s">
        <v>96</v>
      </c>
    </row>
    <row r="121" spans="1:1">
      <c r="A121" s="1" t="s">
        <v>97</v>
      </c>
    </row>
    <row r="122" spans="1:1">
      <c r="A122" s="1" t="s">
        <v>98</v>
      </c>
    </row>
    <row r="124" spans="1:1">
      <c r="A124" s="1" t="s">
        <v>99</v>
      </c>
    </row>
    <row r="125" spans="1:1">
      <c r="A125" s="1" t="s">
        <v>100</v>
      </c>
    </row>
    <row r="126" spans="1:1">
      <c r="A126" s="1" t="s">
        <v>101</v>
      </c>
    </row>
    <row r="127" spans="1:1">
      <c r="A127" s="1" t="s">
        <v>102</v>
      </c>
    </row>
    <row r="128" spans="1:1">
      <c r="A128" s="1" t="s">
        <v>103</v>
      </c>
    </row>
    <row r="129" spans="1:1">
      <c r="A129" s="1" t="s">
        <v>104</v>
      </c>
    </row>
    <row r="131" spans="1:1">
      <c r="A131" s="1" t="s">
        <v>105</v>
      </c>
    </row>
    <row r="132" spans="1:1">
      <c r="A132" s="1" t="s">
        <v>106</v>
      </c>
    </row>
    <row r="133" spans="1:1">
      <c r="A133" s="1" t="s">
        <v>107</v>
      </c>
    </row>
    <row r="134" spans="1:1">
      <c r="A134" s="1" t="s">
        <v>108</v>
      </c>
    </row>
    <row r="135" spans="1:1">
      <c r="A135" s="1" t="s">
        <v>109</v>
      </c>
    </row>
    <row r="137" spans="1:1">
      <c r="A137" s="1" t="s">
        <v>110</v>
      </c>
    </row>
    <row r="138" spans="1:1">
      <c r="A138" s="1" t="s">
        <v>111</v>
      </c>
    </row>
    <row r="139" spans="1:1">
      <c r="A139" s="1" t="s">
        <v>112</v>
      </c>
    </row>
    <row r="140" spans="1:1">
      <c r="A140" s="1" t="s">
        <v>113</v>
      </c>
    </row>
    <row r="141" spans="1:1">
      <c r="A141" s="1" t="s">
        <v>114</v>
      </c>
    </row>
    <row r="142" spans="1:1">
      <c r="A142" s="1" t="s">
        <v>115</v>
      </c>
    </row>
    <row r="144" spans="1:1">
      <c r="A144" s="1" t="s">
        <v>116</v>
      </c>
    </row>
    <row r="145" spans="1:1">
      <c r="A145" s="1" t="s">
        <v>117</v>
      </c>
    </row>
    <row r="146" spans="1:1">
      <c r="A146" s="1" t="s">
        <v>118</v>
      </c>
    </row>
    <row r="147" spans="1:1">
      <c r="A147" s="1" t="s">
        <v>119</v>
      </c>
    </row>
    <row r="148" spans="1:1">
      <c r="A148" s="1" t="s">
        <v>120</v>
      </c>
    </row>
    <row r="151" spans="1:1">
      <c r="A151" s="1" t="s">
        <v>121</v>
      </c>
    </row>
    <row r="153" spans="1:1">
      <c r="A153" s="1" t="s">
        <v>122</v>
      </c>
    </row>
    <row r="154" spans="1:1">
      <c r="A154" s="1" t="s">
        <v>123</v>
      </c>
    </row>
    <row r="155" spans="1:1">
      <c r="A155" s="1" t="s">
        <v>124</v>
      </c>
    </row>
    <row r="156" spans="1:1">
      <c r="A156" s="1" t="s">
        <v>125</v>
      </c>
    </row>
    <row r="157" spans="1:1">
      <c r="A157" s="1" t="s">
        <v>126</v>
      </c>
    </row>
    <row r="158" spans="1:1">
      <c r="A158" s="1" t="s">
        <v>127</v>
      </c>
    </row>
    <row r="161" spans="1:1">
      <c r="A161" s="1" t="s">
        <v>128</v>
      </c>
    </row>
    <row r="162" spans="1:1">
      <c r="A162" s="1" t="s">
        <v>129</v>
      </c>
    </row>
    <row r="165" spans="1:1">
      <c r="A165" s="1" t="s">
        <v>130</v>
      </c>
    </row>
    <row r="166" spans="1:1">
      <c r="A166" s="1" t="s">
        <v>131</v>
      </c>
    </row>
    <row r="167" spans="1:1">
      <c r="A167" s="1" t="s">
        <v>132</v>
      </c>
    </row>
    <row r="168" spans="1:1">
      <c r="A168" s="1" t="s">
        <v>133</v>
      </c>
    </row>
    <row r="169" spans="1:1">
      <c r="A169" s="1" t="s">
        <v>134</v>
      </c>
    </row>
    <row r="170" spans="1:1">
      <c r="A170" s="1" t="s">
        <v>135</v>
      </c>
    </row>
    <row r="172" spans="1:1">
      <c r="A172" s="1" t="s">
        <v>136</v>
      </c>
    </row>
    <row r="173" spans="1:1">
      <c r="A173" s="1" t="s">
        <v>137</v>
      </c>
    </row>
    <row r="175" spans="1:1">
      <c r="A175" s="1" t="s">
        <v>138</v>
      </c>
    </row>
    <row r="177" spans="1:1">
      <c r="A177" s="1" t="s">
        <v>139</v>
      </c>
    </row>
    <row r="178" spans="1:1">
      <c r="A178" s="1" t="s">
        <v>140</v>
      </c>
    </row>
    <row r="179" spans="1:1">
      <c r="A179" s="1" t="s">
        <v>141</v>
      </c>
    </row>
    <row r="180" spans="1:1">
      <c r="A180" s="1" t="s">
        <v>142</v>
      </c>
    </row>
    <row r="181" spans="1:1">
      <c r="A181" s="1" t="s">
        <v>143</v>
      </c>
    </row>
    <row r="182" spans="1:1">
      <c r="A182" s="1" t="s">
        <v>144</v>
      </c>
    </row>
    <row r="183" spans="1:1">
      <c r="A183" s="1" t="s">
        <v>145</v>
      </c>
    </row>
    <row r="184" spans="1:1">
      <c r="A184" s="1" t="s">
        <v>146</v>
      </c>
    </row>
    <row r="186" spans="1:1">
      <c r="A186" s="1" t="s">
        <v>147</v>
      </c>
    </row>
    <row r="187" spans="1:1">
      <c r="A187" s="1" t="s">
        <v>148</v>
      </c>
    </row>
    <row r="189" spans="1:1">
      <c r="A189" s="1" t="s">
        <v>149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188"/>
  <sheetViews>
    <sheetView topLeftCell="A103" workbookViewId="0">
      <selection activeCell="J127" sqref="J127"/>
    </sheetView>
  </sheetViews>
  <sheetFormatPr defaultRowHeight="12.75"/>
  <cols>
    <col min="1" max="16384" width="9.140625" style="1"/>
  </cols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5" spans="1:1">
      <c r="A5" s="1" t="s">
        <v>3</v>
      </c>
    </row>
    <row r="6" spans="1:1">
      <c r="A6" s="1" t="s">
        <v>4</v>
      </c>
    </row>
    <row r="8" spans="1:1">
      <c r="A8" s="1" t="s">
        <v>5</v>
      </c>
    </row>
    <row r="9" spans="1:1">
      <c r="A9" s="1" t="s">
        <v>6</v>
      </c>
    </row>
    <row r="10" spans="1:1">
      <c r="A10" s="1" t="s">
        <v>7</v>
      </c>
    </row>
    <row r="12" spans="1:1">
      <c r="A12" s="1" t="s">
        <v>8</v>
      </c>
    </row>
    <row r="13" spans="1:1">
      <c r="A13" s="1" t="s">
        <v>9</v>
      </c>
    </row>
    <row r="14" spans="1:1">
      <c r="A14" s="1" t="s">
        <v>10</v>
      </c>
    </row>
    <row r="15" spans="1:1">
      <c r="A15" s="1" t="s">
        <v>11</v>
      </c>
    </row>
    <row r="16" spans="1:1">
      <c r="A16" s="1" t="s">
        <v>12</v>
      </c>
    </row>
    <row r="17" spans="1:1">
      <c r="A17" s="1" t="s">
        <v>13</v>
      </c>
    </row>
    <row r="19" spans="1:1">
      <c r="A19" s="1" t="s">
        <v>14</v>
      </c>
    </row>
    <row r="20" spans="1:1">
      <c r="A20" s="1" t="s">
        <v>15</v>
      </c>
    </row>
    <row r="21" spans="1:1">
      <c r="A21" s="1" t="s">
        <v>16</v>
      </c>
    </row>
    <row r="22" spans="1:1">
      <c r="A22" s="1" t="s">
        <v>17</v>
      </c>
    </row>
    <row r="23" spans="1:1">
      <c r="A23" s="1" t="s">
        <v>18</v>
      </c>
    </row>
    <row r="24" spans="1:1">
      <c r="A24" s="1" t="s">
        <v>19</v>
      </c>
    </row>
    <row r="26" spans="1:1">
      <c r="A26" s="1" t="s">
        <v>20</v>
      </c>
    </row>
    <row r="27" spans="1:1">
      <c r="A27" s="1" t="s">
        <v>21</v>
      </c>
    </row>
    <row r="29" spans="1:1">
      <c r="A29" s="1" t="s">
        <v>22</v>
      </c>
    </row>
    <row r="31" spans="1:1">
      <c r="A31" s="1" t="s">
        <v>23</v>
      </c>
    </row>
    <row r="32" spans="1:1">
      <c r="A32" s="1" t="s">
        <v>24</v>
      </c>
    </row>
    <row r="33" spans="1:1">
      <c r="A33" s="1" t="s">
        <v>25</v>
      </c>
    </row>
    <row r="34" spans="1:1">
      <c r="A34" s="1" t="s">
        <v>26</v>
      </c>
    </row>
    <row r="36" spans="1:1">
      <c r="A36" s="1" t="s">
        <v>27</v>
      </c>
    </row>
    <row r="37" spans="1:1">
      <c r="A37" s="1" t="s">
        <v>28</v>
      </c>
    </row>
    <row r="38" spans="1:1">
      <c r="A38" s="1" t="s">
        <v>29</v>
      </c>
    </row>
    <row r="39" spans="1:1">
      <c r="A39" s="1" t="s">
        <v>30</v>
      </c>
    </row>
    <row r="40" spans="1:1">
      <c r="A40" s="1" t="s">
        <v>31</v>
      </c>
    </row>
    <row r="41" spans="1:1">
      <c r="A41" s="1" t="s">
        <v>32</v>
      </c>
    </row>
    <row r="43" spans="1:1">
      <c r="A43" s="1" t="s">
        <v>33</v>
      </c>
    </row>
    <row r="44" spans="1:1">
      <c r="A44" s="1" t="s">
        <v>34</v>
      </c>
    </row>
    <row r="45" spans="1:1">
      <c r="A45" s="1" t="s">
        <v>35</v>
      </c>
    </row>
    <row r="47" spans="1:1">
      <c r="A47" s="1" t="s">
        <v>36</v>
      </c>
    </row>
    <row r="49" spans="1:1">
      <c r="A49" s="1" t="s">
        <v>37</v>
      </c>
    </row>
    <row r="51" spans="1:1">
      <c r="A51" s="1" t="s">
        <v>38</v>
      </c>
    </row>
    <row r="52" spans="1:1">
      <c r="A52" s="1" t="s">
        <v>39</v>
      </c>
    </row>
    <row r="53" spans="1:1">
      <c r="A53" s="1" t="s">
        <v>40</v>
      </c>
    </row>
    <row r="54" spans="1:1">
      <c r="A54" s="1" t="s">
        <v>41</v>
      </c>
    </row>
    <row r="55" spans="1:1">
      <c r="A55" s="1" t="s">
        <v>42</v>
      </c>
    </row>
    <row r="56" spans="1:1">
      <c r="A56" s="1" t="s">
        <v>43</v>
      </c>
    </row>
    <row r="58" spans="1:1">
      <c r="A58" s="1" t="s">
        <v>44</v>
      </c>
    </row>
    <row r="59" spans="1:1">
      <c r="A59" s="1" t="s">
        <v>45</v>
      </c>
    </row>
    <row r="60" spans="1:1">
      <c r="A60" s="1" t="s">
        <v>46</v>
      </c>
    </row>
    <row r="61" spans="1:1">
      <c r="A61" s="1" t="s">
        <v>47</v>
      </c>
    </row>
    <row r="62" spans="1:1">
      <c r="A62" s="1" t="s">
        <v>48</v>
      </c>
    </row>
    <row r="63" spans="1:1">
      <c r="A63" s="1" t="s">
        <v>49</v>
      </c>
    </row>
    <row r="65" spans="1:1">
      <c r="A65" s="1" t="s">
        <v>50</v>
      </c>
    </row>
    <row r="66" spans="1:1">
      <c r="A66" s="1" t="s">
        <v>51</v>
      </c>
    </row>
    <row r="67" spans="1:1">
      <c r="A67" s="1" t="s">
        <v>52</v>
      </c>
    </row>
    <row r="68" spans="1:1">
      <c r="A68" s="1" t="s">
        <v>53</v>
      </c>
    </row>
    <row r="69" spans="1:1">
      <c r="A69" s="1" t="s">
        <v>54</v>
      </c>
    </row>
    <row r="71" spans="1:1">
      <c r="A71" s="1" t="s">
        <v>55</v>
      </c>
    </row>
    <row r="72" spans="1:1">
      <c r="A72" s="1" t="s">
        <v>56</v>
      </c>
    </row>
    <row r="73" spans="1:1">
      <c r="A73" s="1" t="s">
        <v>57</v>
      </c>
    </row>
    <row r="74" spans="1:1">
      <c r="A74" s="1" t="s">
        <v>58</v>
      </c>
    </row>
    <row r="75" spans="1:1">
      <c r="A75" s="1" t="s">
        <v>59</v>
      </c>
    </row>
    <row r="76" spans="1:1">
      <c r="A76" s="1" t="s">
        <v>60</v>
      </c>
    </row>
    <row r="78" spans="1:1">
      <c r="A78" s="1" t="s">
        <v>61</v>
      </c>
    </row>
    <row r="79" spans="1:1">
      <c r="A79" s="1" t="s">
        <v>62</v>
      </c>
    </row>
    <row r="80" spans="1:1">
      <c r="A80" s="1" t="s">
        <v>63</v>
      </c>
    </row>
    <row r="81" spans="1:1">
      <c r="A81" s="1" t="s">
        <v>64</v>
      </c>
    </row>
    <row r="82" spans="1:1">
      <c r="A82" s="1" t="s">
        <v>65</v>
      </c>
    </row>
    <row r="84" spans="1:1">
      <c r="A84" s="1" t="s">
        <v>66</v>
      </c>
    </row>
    <row r="85" spans="1:1">
      <c r="A85" s="1" t="s">
        <v>67</v>
      </c>
    </row>
    <row r="86" spans="1:1">
      <c r="A86" s="1" t="s">
        <v>68</v>
      </c>
    </row>
    <row r="87" spans="1:1">
      <c r="A87" s="1" t="s">
        <v>69</v>
      </c>
    </row>
    <row r="88" spans="1:1">
      <c r="A88" s="1" t="s">
        <v>70</v>
      </c>
    </row>
    <row r="89" spans="1:1">
      <c r="A89" s="1" t="s">
        <v>71</v>
      </c>
    </row>
    <row r="91" spans="1:1">
      <c r="A91" s="1" t="s">
        <v>72</v>
      </c>
    </row>
    <row r="92" spans="1:1">
      <c r="A92" s="1" t="s">
        <v>73</v>
      </c>
    </row>
    <row r="93" spans="1:1">
      <c r="A93" s="1" t="s">
        <v>74</v>
      </c>
    </row>
    <row r="94" spans="1:1">
      <c r="A94" s="1" t="s">
        <v>75</v>
      </c>
    </row>
    <row r="95" spans="1:1">
      <c r="A95" s="1" t="s">
        <v>76</v>
      </c>
    </row>
    <row r="97" spans="1:1">
      <c r="A97" s="1" t="s">
        <v>77</v>
      </c>
    </row>
    <row r="98" spans="1:1">
      <c r="A98" s="1" t="s">
        <v>78</v>
      </c>
    </row>
    <row r="99" spans="1:1">
      <c r="A99" s="1" t="s">
        <v>79</v>
      </c>
    </row>
    <row r="100" spans="1:1">
      <c r="A100" s="1" t="s">
        <v>80</v>
      </c>
    </row>
    <row r="101" spans="1:1">
      <c r="A101" s="1" t="s">
        <v>81</v>
      </c>
    </row>
    <row r="102" spans="1:1">
      <c r="A102" s="1" t="s">
        <v>82</v>
      </c>
    </row>
    <row r="104" spans="1:1">
      <c r="A104" s="1" t="s">
        <v>83</v>
      </c>
    </row>
    <row r="105" spans="1:1">
      <c r="A105" s="1" t="s">
        <v>84</v>
      </c>
    </row>
    <row r="106" spans="1:1">
      <c r="A106" s="1" t="s">
        <v>85</v>
      </c>
    </row>
    <row r="107" spans="1:1">
      <c r="A107" s="1" t="s">
        <v>86</v>
      </c>
    </row>
    <row r="108" spans="1:1">
      <c r="A108" s="1" t="s">
        <v>87</v>
      </c>
    </row>
    <row r="110" spans="1:1">
      <c r="A110" s="1" t="s">
        <v>88</v>
      </c>
    </row>
    <row r="111" spans="1:1">
      <c r="A111" s="1" t="s">
        <v>89</v>
      </c>
    </row>
    <row r="112" spans="1:1">
      <c r="A112" s="1" t="s">
        <v>90</v>
      </c>
    </row>
    <row r="113" spans="1:1">
      <c r="A113" s="1" t="s">
        <v>91</v>
      </c>
    </row>
    <row r="114" spans="1:1">
      <c r="A114" s="1" t="s">
        <v>92</v>
      </c>
    </row>
    <row r="115" spans="1:1">
      <c r="A115" s="1" t="s">
        <v>93</v>
      </c>
    </row>
    <row r="117" spans="1:1">
      <c r="A117" s="1" t="s">
        <v>94</v>
      </c>
    </row>
    <row r="118" spans="1:1">
      <c r="A118" s="1" t="s">
        <v>95</v>
      </c>
    </row>
    <row r="119" spans="1:1">
      <c r="A119" s="1" t="s">
        <v>96</v>
      </c>
    </row>
    <row r="120" spans="1:1">
      <c r="A120" s="1" t="s">
        <v>97</v>
      </c>
    </row>
    <row r="121" spans="1:1">
      <c r="A121" s="1" t="s">
        <v>98</v>
      </c>
    </row>
    <row r="123" spans="1:1">
      <c r="A123" s="1" t="s">
        <v>99</v>
      </c>
    </row>
    <row r="124" spans="1:1">
      <c r="A124" s="1" t="s">
        <v>100</v>
      </c>
    </row>
    <row r="125" spans="1:1">
      <c r="A125" s="1" t="s">
        <v>101</v>
      </c>
    </row>
    <row r="126" spans="1:1">
      <c r="A126" s="1" t="s">
        <v>102</v>
      </c>
    </row>
    <row r="127" spans="1:1">
      <c r="A127" s="1" t="s">
        <v>103</v>
      </c>
    </row>
    <row r="128" spans="1:1">
      <c r="A128" s="1" t="s">
        <v>104</v>
      </c>
    </row>
    <row r="130" spans="1:1">
      <c r="A130" s="1" t="s">
        <v>105</v>
      </c>
    </row>
    <row r="131" spans="1:1">
      <c r="A131" s="1" t="s">
        <v>106</v>
      </c>
    </row>
    <row r="132" spans="1:1">
      <c r="A132" s="1" t="s">
        <v>107</v>
      </c>
    </row>
    <row r="133" spans="1:1">
      <c r="A133" s="1" t="s">
        <v>108</v>
      </c>
    </row>
    <row r="134" spans="1:1">
      <c r="A134" s="1" t="s">
        <v>109</v>
      </c>
    </row>
    <row r="136" spans="1:1">
      <c r="A136" s="1" t="s">
        <v>110</v>
      </c>
    </row>
    <row r="137" spans="1:1">
      <c r="A137" s="1" t="s">
        <v>111</v>
      </c>
    </row>
    <row r="138" spans="1:1">
      <c r="A138" s="1" t="s">
        <v>112</v>
      </c>
    </row>
    <row r="139" spans="1:1">
      <c r="A139" s="1" t="s">
        <v>113</v>
      </c>
    </row>
    <row r="140" spans="1:1">
      <c r="A140" s="1" t="s">
        <v>114</v>
      </c>
    </row>
    <row r="141" spans="1:1">
      <c r="A141" s="1" t="s">
        <v>115</v>
      </c>
    </row>
    <row r="143" spans="1:1">
      <c r="A143" s="1" t="s">
        <v>116</v>
      </c>
    </row>
    <row r="144" spans="1:1">
      <c r="A144" s="1" t="s">
        <v>117</v>
      </c>
    </row>
    <row r="145" spans="1:1">
      <c r="A145" s="1" t="s">
        <v>118</v>
      </c>
    </row>
    <row r="146" spans="1:1">
      <c r="A146" s="1" t="s">
        <v>119</v>
      </c>
    </row>
    <row r="147" spans="1:1">
      <c r="A147" s="1" t="s">
        <v>120</v>
      </c>
    </row>
    <row r="150" spans="1:1">
      <c r="A150" s="1" t="s">
        <v>121</v>
      </c>
    </row>
    <row r="152" spans="1:1">
      <c r="A152" s="1" t="s">
        <v>122</v>
      </c>
    </row>
    <row r="153" spans="1:1">
      <c r="A153" s="1" t="s">
        <v>123</v>
      </c>
    </row>
    <row r="154" spans="1:1">
      <c r="A154" s="1" t="s">
        <v>124</v>
      </c>
    </row>
    <row r="155" spans="1:1">
      <c r="A155" s="1" t="s">
        <v>125</v>
      </c>
    </row>
    <row r="156" spans="1:1">
      <c r="A156" s="1" t="s">
        <v>126</v>
      </c>
    </row>
    <row r="157" spans="1:1">
      <c r="A157" s="1" t="s">
        <v>127</v>
      </c>
    </row>
    <row r="160" spans="1:1">
      <c r="A160" s="1" t="s">
        <v>128</v>
      </c>
    </row>
    <row r="161" spans="1:1">
      <c r="A161" s="1" t="s">
        <v>129</v>
      </c>
    </row>
    <row r="164" spans="1:1">
      <c r="A164" s="1" t="s">
        <v>130</v>
      </c>
    </row>
    <row r="165" spans="1:1">
      <c r="A165" s="1" t="s">
        <v>131</v>
      </c>
    </row>
    <row r="166" spans="1:1">
      <c r="A166" s="1" t="s">
        <v>132</v>
      </c>
    </row>
    <row r="167" spans="1:1">
      <c r="A167" s="1" t="s">
        <v>133</v>
      </c>
    </row>
    <row r="168" spans="1:1">
      <c r="A168" s="1" t="s">
        <v>134</v>
      </c>
    </row>
    <row r="169" spans="1:1">
      <c r="A169" s="1" t="s">
        <v>135</v>
      </c>
    </row>
    <row r="171" spans="1:1">
      <c r="A171" s="1" t="s">
        <v>136</v>
      </c>
    </row>
    <row r="172" spans="1:1">
      <c r="A172" s="1" t="s">
        <v>137</v>
      </c>
    </row>
    <row r="174" spans="1:1">
      <c r="A174" s="1" t="s">
        <v>138</v>
      </c>
    </row>
    <row r="176" spans="1:1">
      <c r="A176" s="1" t="s">
        <v>139</v>
      </c>
    </row>
    <row r="177" spans="1:1">
      <c r="A177" s="1" t="s">
        <v>140</v>
      </c>
    </row>
    <row r="178" spans="1:1">
      <c r="A178" s="1" t="s">
        <v>141</v>
      </c>
    </row>
    <row r="179" spans="1:1">
      <c r="A179" s="1" t="s">
        <v>142</v>
      </c>
    </row>
    <row r="180" spans="1:1">
      <c r="A180" s="1" t="s">
        <v>143</v>
      </c>
    </row>
    <row r="181" spans="1:1">
      <c r="A181" s="1" t="s">
        <v>144</v>
      </c>
    </row>
    <row r="182" spans="1:1">
      <c r="A182" s="1" t="s">
        <v>145</v>
      </c>
    </row>
    <row r="183" spans="1:1">
      <c r="A183" s="1" t="s">
        <v>146</v>
      </c>
    </row>
    <row r="185" spans="1:1">
      <c r="A185" s="1" t="s">
        <v>147</v>
      </c>
    </row>
    <row r="186" spans="1:1">
      <c r="A186" s="1" t="s">
        <v>148</v>
      </c>
    </row>
    <row r="188" spans="1:1">
      <c r="A188" s="1" t="s">
        <v>149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Callbacks</vt:lpstr>
      <vt:lpstr>BatchDistilFail.sym</vt:lpstr>
      <vt:lpstr>BatchDistil.sym</vt:lpstr>
      <vt:lpstr>BatchDistilFail.sym!BatchDistilFailsym</vt:lpstr>
      <vt:lpstr>BatchDistil.sym!BatchDistilsym</vt:lpstr>
      <vt:lpstr>BatchDistilFail.sym!symTestEditMUBATCHFailed</vt:lpstr>
      <vt:lpstr>TestRange</vt:lpstr>
    </vt:vector>
  </TitlesOfParts>
  <Company>Aston Read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Read</dc:creator>
  <cp:lastModifiedBy>Tim Read</cp:lastModifiedBy>
  <dcterms:created xsi:type="dcterms:W3CDTF">2011-08-08T15:56:23Z</dcterms:created>
  <dcterms:modified xsi:type="dcterms:W3CDTF">2011-08-08T16:28:28Z</dcterms:modified>
</cp:coreProperties>
</file>